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necia\Downloads\"/>
    </mc:Choice>
  </mc:AlternateContent>
  <xr:revisionPtr revIDLastSave="0" documentId="13_ncr:1_{9C28503B-7723-4128-83BE-67E98A896EEA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Sheet1" sheetId="9" r:id="rId1"/>
    <sheet name="Sales Data" sheetId="1" r:id="rId2"/>
    <sheet name="Dataset Overview" sheetId="2" r:id="rId3"/>
    <sheet name="Business KPIs" sheetId="3" r:id="rId4"/>
    <sheet name="Category Analysis" sheetId="4" r:id="rId5"/>
    <sheet name="Region Analysis" sheetId="5" r:id="rId6"/>
    <sheet name="Customer Analysis" sheetId="6" r:id="rId7"/>
    <sheet name="Product Analysis" sheetId="7" r:id="rId8"/>
    <sheet name="Monthly Analysis" sheetId="8" r:id="rId9"/>
  </sheets>
  <calcPr calcId="191029"/>
  <pivotCaches>
    <pivotCache cacheId="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C5" i="8"/>
  <c r="B5" i="8"/>
  <c r="C4" i="8"/>
  <c r="B4" i="8"/>
  <c r="C3" i="8"/>
  <c r="B3" i="8"/>
  <c r="D4" i="7"/>
  <c r="C4" i="7"/>
  <c r="B4" i="7"/>
  <c r="D5" i="7"/>
  <c r="C5" i="7"/>
  <c r="B5" i="7"/>
  <c r="D11" i="7"/>
  <c r="C11" i="7"/>
  <c r="B11" i="7"/>
  <c r="D7" i="7"/>
  <c r="C7" i="7"/>
  <c r="B7" i="7"/>
  <c r="D13" i="7"/>
  <c r="C13" i="7"/>
  <c r="B13" i="7"/>
  <c r="D12" i="7"/>
  <c r="C12" i="7"/>
  <c r="B12" i="7"/>
  <c r="D14" i="7"/>
  <c r="C14" i="7"/>
  <c r="B14" i="7"/>
  <c r="D10" i="7"/>
  <c r="C10" i="7"/>
  <c r="B10" i="7"/>
  <c r="D8" i="7"/>
  <c r="C8" i="7"/>
  <c r="B8" i="7"/>
  <c r="D6" i="7"/>
  <c r="C6" i="7"/>
  <c r="B6" i="7"/>
  <c r="D3" i="7"/>
  <c r="C3" i="7"/>
  <c r="B3" i="7"/>
  <c r="D9" i="7"/>
  <c r="C9" i="7"/>
  <c r="B9" i="7"/>
  <c r="D4" i="6"/>
  <c r="C4" i="6"/>
  <c r="B4" i="6"/>
  <c r="D3" i="6"/>
  <c r="C3" i="6"/>
  <c r="B3" i="6"/>
  <c r="D4" i="5"/>
  <c r="C4" i="5"/>
  <c r="B4" i="5"/>
  <c r="D3" i="5"/>
  <c r="C3" i="5"/>
  <c r="B3" i="5"/>
  <c r="D6" i="4"/>
  <c r="C6" i="4"/>
  <c r="B6" i="4"/>
  <c r="D5" i="4"/>
  <c r="C5" i="4"/>
  <c r="B5" i="4"/>
  <c r="D4" i="4"/>
  <c r="C4" i="4"/>
  <c r="B4" i="4"/>
  <c r="D3" i="4"/>
  <c r="C3" i="4"/>
  <c r="B3" i="4"/>
  <c r="B6" i="3"/>
  <c r="B5" i="3"/>
  <c r="B4" i="3"/>
  <c r="B3" i="3"/>
  <c r="E4" i="5" l="1"/>
  <c r="B7" i="3"/>
  <c r="E3" i="6"/>
  <c r="E4" i="6"/>
  <c r="B8" i="3"/>
  <c r="E3" i="5"/>
  <c r="E4" i="4"/>
  <c r="E5" i="4"/>
  <c r="E6" i="4"/>
  <c r="E3" i="4"/>
</calcChain>
</file>

<file path=xl/sharedStrings.xml><?xml version="1.0" encoding="utf-8"?>
<sst xmlns="http://schemas.openxmlformats.org/spreadsheetml/2006/main" count="213" uniqueCount="108">
  <si>
    <t>Order_ID</t>
  </si>
  <si>
    <t>Order_Date</t>
  </si>
  <si>
    <t>Region</t>
  </si>
  <si>
    <t>Customer_Segment</t>
  </si>
  <si>
    <t>Product</t>
  </si>
  <si>
    <t>Category</t>
  </si>
  <si>
    <t>Quantity</t>
  </si>
  <si>
    <t>Net_Sales</t>
  </si>
  <si>
    <t>Product_Cost</t>
  </si>
  <si>
    <t>Profit</t>
  </si>
  <si>
    <t>BB001</t>
  </si>
  <si>
    <t>West</t>
  </si>
  <si>
    <t>Individual</t>
  </si>
  <si>
    <t>Ceramic Vase</t>
  </si>
  <si>
    <t>Home Decor</t>
  </si>
  <si>
    <t>BB002</t>
  </si>
  <si>
    <t>Central</t>
  </si>
  <si>
    <t>Gift Box</t>
  </si>
  <si>
    <t>Gifts</t>
  </si>
  <si>
    <t>BB003</t>
  </si>
  <si>
    <t>Small Business</t>
  </si>
  <si>
    <t>Kitchen Set</t>
  </si>
  <si>
    <t>Kitchen</t>
  </si>
  <si>
    <t>BB004</t>
  </si>
  <si>
    <t>Notebook Set</t>
  </si>
  <si>
    <t>Stationery</t>
  </si>
  <si>
    <t>BB005</t>
  </si>
  <si>
    <t>Wall Art</t>
  </si>
  <si>
    <t>BB006</t>
  </si>
  <si>
    <t>BB007</t>
  </si>
  <si>
    <t>Scented Candle</t>
  </si>
  <si>
    <t>BB008</t>
  </si>
  <si>
    <t>Storage Basket</t>
  </si>
  <si>
    <t>BB009</t>
  </si>
  <si>
    <t>Pen Set</t>
  </si>
  <si>
    <t>BB010</t>
  </si>
  <si>
    <t>Decor Lamp</t>
  </si>
  <si>
    <t>BB011</t>
  </si>
  <si>
    <t>Serving Tray</t>
  </si>
  <si>
    <t>BB012</t>
  </si>
  <si>
    <t>Photo Frame</t>
  </si>
  <si>
    <t>BB013</t>
  </si>
  <si>
    <t>Planner</t>
  </si>
  <si>
    <t>BB014</t>
  </si>
  <si>
    <t>BB015</t>
  </si>
  <si>
    <t>BB016</t>
  </si>
  <si>
    <t>BB017</t>
  </si>
  <si>
    <t>BB018</t>
  </si>
  <si>
    <t>BB019</t>
  </si>
  <si>
    <t>BB020</t>
  </si>
  <si>
    <t>BLOOM &amp; BASKET — DATASET OVERVIEW</t>
  </si>
  <si>
    <t>Parameter</t>
  </si>
  <si>
    <t>Observation</t>
  </si>
  <si>
    <t>Business Name</t>
  </si>
  <si>
    <t>Bloom &amp; Basket (fictional)</t>
  </si>
  <si>
    <t>Industry</t>
  </si>
  <si>
    <t>Retail</t>
  </si>
  <si>
    <t>Dataset Name</t>
  </si>
  <si>
    <t>Bloom Basket Business Data</t>
  </si>
  <si>
    <t>Number of Records</t>
  </si>
  <si>
    <t>Number of Columns</t>
  </si>
  <si>
    <t>Analysis Period</t>
  </si>
  <si>
    <t>January–March 2026</t>
  </si>
  <si>
    <t>Number of Regions</t>
  </si>
  <si>
    <t>Customer Segments</t>
  </si>
  <si>
    <t>Product Categories</t>
  </si>
  <si>
    <t>Data Format</t>
  </si>
  <si>
    <t>Excel / CSV</t>
  </si>
  <si>
    <t>Dataset Note</t>
  </si>
  <si>
    <t>Simulated data created for learning and analysis.</t>
  </si>
  <si>
    <t>BLOOM &amp; BASKET — BUSINESS KPI OVERVIEW</t>
  </si>
  <si>
    <t>KPI</t>
  </si>
  <si>
    <t>Value</t>
  </si>
  <si>
    <t>Business Purpose</t>
  </si>
  <si>
    <t>Total Sales</t>
  </si>
  <si>
    <t>Measures revenue generated</t>
  </si>
  <si>
    <t>Total Profit</t>
  </si>
  <si>
    <t>Profit after product cost</t>
  </si>
  <si>
    <t>Total Orders</t>
  </si>
  <si>
    <t>Number of recorded orders</t>
  </si>
  <si>
    <t>Total Quantity</t>
  </si>
  <si>
    <t>Total units sold</t>
  </si>
  <si>
    <t>Average Order Value</t>
  </si>
  <si>
    <t>Average sales per order</t>
  </si>
  <si>
    <t>Profit Margin</t>
  </si>
  <si>
    <t>Profit as a percentage of sales</t>
  </si>
  <si>
    <t>Note</t>
  </si>
  <si>
    <t>Profit is Net Sales minus Product Cost; operating expenses are not included.</t>
  </si>
  <si>
    <t>CATEGORY ANALYSIS</t>
  </si>
  <si>
    <t>Orders</t>
  </si>
  <si>
    <t>Sales</t>
  </si>
  <si>
    <t>REGION ANALYSIS</t>
  </si>
  <si>
    <t>CUSTOMER ANALYSIS</t>
  </si>
  <si>
    <t>PRODUCT ANALYSIS</t>
  </si>
  <si>
    <t>MONTHLY SALES &amp; PROFIT ANALYSIS</t>
  </si>
  <si>
    <t>Month</t>
  </si>
  <si>
    <t>2026-01</t>
  </si>
  <si>
    <t>2026-02</t>
  </si>
  <si>
    <t>2026-03</t>
  </si>
  <si>
    <t>Calculated Profit</t>
  </si>
  <si>
    <t>Profit_Check</t>
  </si>
  <si>
    <t>Sum of Profit</t>
  </si>
  <si>
    <t>Column Labels</t>
  </si>
  <si>
    <t>Row Labels</t>
  </si>
  <si>
    <t>Grand Total</t>
  </si>
  <si>
    <t>Sum of Net_Sales</t>
  </si>
  <si>
    <t>Total Sum of Net_Sales</t>
  </si>
  <si>
    <t>Total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</si>
</sst>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\-mmm\-yyyy"/>
    <numFmt numFmtId="165" formatCode="\₹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5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3" borderId="0" xfId="0" applyFont="1" applyFill="1"/>
    <xf numFmtId="10" fontId="0" fillId="0" borderId="0" xfId="0" applyNumberFormat="1"/>
    <xf numFmtId="44" fontId="0" fillId="0" borderId="0" xfId="1" applyFont="1"/>
    <xf numFmtId="0" fontId="2" fillId="2" borderId="0" xfId="0" applyFont="1" applyFill="1"/>
    <xf numFmtId="0" fontId="0" fillId="0" borderId="0" xfId="0"/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[Bloom_Basket_Project6_Business_Analysis.xlsx]Sheet1!PivotTable2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Sheet1!$B$1:$B$3</c:f>
              <c:strCache>
                <c:ptCount val="1"/>
                <c:pt idx="0">
                  <c:v>Individual - 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Central</c:v>
                </c:pt>
                <c:pt idx="1">
                  <c:v>West</c:v>
                </c:pt>
              </c:strCache>
            </c:strRef>
          </c:cat>
          <c:val>
            <c:numRef>
              <c:f>Sheet1!$B$4:$B$6</c:f>
              <c:numCache>
                <c:formatCode>\₹#,##0.00</c:formatCode>
                <c:ptCount val="2"/>
                <c:pt idx="0">
                  <c:v>6400</c:v>
                </c:pt>
                <c:pt idx="1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D-42F5-AECB-5407573DF221}"/>
            </c:ext>
          </c:extLst>
        </c:ser>
        <c:ser>
          <c:idx val="1"/>
          <c:order val="1"/>
          <c:tx>
            <c:strRef>
              <c:f>Sheet1!$C$1:$C$3</c:f>
              <c:strCache>
                <c:ptCount val="1"/>
                <c:pt idx="0">
                  <c:v>Individual - 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Central</c:v>
                </c:pt>
                <c:pt idx="1">
                  <c:v>West</c:v>
                </c:pt>
              </c:strCache>
            </c:strRef>
          </c:cat>
          <c:val>
            <c:numRef>
              <c:f>Sheet1!$C$4:$C$6</c:f>
              <c:numCache>
                <c:formatCode>\₹#,##0.00</c:formatCode>
                <c:ptCount val="2"/>
                <c:pt idx="0">
                  <c:v>2450</c:v>
                </c:pt>
                <c:pt idx="1">
                  <c:v>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D-42F5-AECB-5407573DF221}"/>
            </c:ext>
          </c:extLst>
        </c:ser>
        <c:ser>
          <c:idx val="2"/>
          <c:order val="2"/>
          <c:tx>
            <c:strRef>
              <c:f>Sheet1!$D$1:$D$3</c:f>
              <c:strCache>
                <c:ptCount val="1"/>
                <c:pt idx="0">
                  <c:v>Small Business - Sum of Net_Sales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Central</c:v>
                </c:pt>
                <c:pt idx="1">
                  <c:v>West</c:v>
                </c:pt>
              </c:strCache>
            </c:strRef>
          </c:cat>
          <c:val>
            <c:numRef>
              <c:f>Sheet1!$D$4:$D$6</c:f>
              <c:numCache>
                <c:formatCode>\₹#,##0.00</c:formatCode>
                <c:ptCount val="2"/>
                <c:pt idx="0">
                  <c:v>2500</c:v>
                </c:pt>
                <c:pt idx="1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CD-42F5-AECB-5407573DF221}"/>
            </c:ext>
          </c:extLst>
        </c:ser>
        <c:ser>
          <c:idx val="3"/>
          <c:order val="3"/>
          <c:tx>
            <c:strRef>
              <c:f>Sheet1!$E$1:$E$3</c:f>
              <c:strCache>
                <c:ptCount val="1"/>
                <c:pt idx="0">
                  <c:v>Small Business - 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Central</c:v>
                </c:pt>
                <c:pt idx="1">
                  <c:v>West</c:v>
                </c:pt>
              </c:strCache>
            </c:strRef>
          </c:cat>
          <c:val>
            <c:numRef>
              <c:f>Sheet1!$E$4:$E$6</c:f>
              <c:numCache>
                <c:formatCode>\₹#,##0.00</c:formatCode>
                <c:ptCount val="2"/>
                <c:pt idx="0">
                  <c:v>880</c:v>
                </c:pt>
                <c:pt idx="1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CD-42F5-AECB-5407573DF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539104"/>
        <c:axId val="1326595888"/>
      </c:barChart>
      <c:catAx>
        <c:axId val="14225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95888"/>
        <c:crosses val="autoZero"/>
        <c:auto val="1"/>
        <c:lblAlgn val="ctr"/>
        <c:lblOffset val="100"/>
        <c:noMultiLvlLbl val="0"/>
      </c:catAx>
      <c:valAx>
        <c:axId val="13265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Category.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Analysis'!$A$3:$A$6</c:f>
              <c:strCache>
                <c:ptCount val="4"/>
                <c:pt idx="0">
                  <c:v>Home Decor</c:v>
                </c:pt>
                <c:pt idx="1">
                  <c:v>Gifts</c:v>
                </c:pt>
                <c:pt idx="2">
                  <c:v>Kitchen</c:v>
                </c:pt>
                <c:pt idx="3">
                  <c:v>Stationery</c:v>
                </c:pt>
              </c:strCache>
            </c:strRef>
          </c:cat>
          <c:val>
            <c:numRef>
              <c:f>'Category Analysis'!$C$3:$C$6</c:f>
              <c:numCache>
                <c:formatCode>\₹#,##0.00</c:formatCode>
                <c:ptCount val="4"/>
                <c:pt idx="0">
                  <c:v>10100</c:v>
                </c:pt>
                <c:pt idx="1">
                  <c:v>6025</c:v>
                </c:pt>
                <c:pt idx="2">
                  <c:v>6850</c:v>
                </c:pt>
                <c:pt idx="3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E-43A0-A15D-26753BEB2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7268207"/>
        <c:axId val="1544562767"/>
      </c:barChart>
      <c:catAx>
        <c:axId val="18072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2767"/>
        <c:crosses val="autoZero"/>
        <c:auto val="1"/>
        <c:lblAlgn val="ctr"/>
        <c:lblOffset val="100"/>
        <c:noMultiLvlLbl val="0"/>
      </c:catAx>
      <c:valAx>
        <c:axId val="15445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6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Region.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Analysis'!$A$3:$A$4</c:f>
              <c:strCache>
                <c:ptCount val="2"/>
                <c:pt idx="0">
                  <c:v>West</c:v>
                </c:pt>
                <c:pt idx="1">
                  <c:v>Central</c:v>
                </c:pt>
              </c:strCache>
            </c:strRef>
          </c:cat>
          <c:val>
            <c:numRef>
              <c:f>'Region Analysis'!$C$3:$C$4</c:f>
              <c:numCache>
                <c:formatCode>\₹#,##0.00</c:formatCode>
                <c:ptCount val="2"/>
                <c:pt idx="0">
                  <c:v>17175</c:v>
                </c:pt>
                <c:pt idx="1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D-406B-9805-3C7045078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48559"/>
        <c:axId val="1831795823"/>
      </c:barChart>
      <c:catAx>
        <c:axId val="182734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95823"/>
        <c:crosses val="autoZero"/>
        <c:auto val="1"/>
        <c:lblAlgn val="ctr"/>
        <c:lblOffset val="100"/>
        <c:noMultiLvlLbl val="0"/>
      </c:catAx>
      <c:valAx>
        <c:axId val="183179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34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Customer Segment.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Analysis'!$A$3:$A$4</c:f>
              <c:strCache>
                <c:ptCount val="2"/>
                <c:pt idx="0">
                  <c:v>Individual</c:v>
                </c:pt>
                <c:pt idx="1">
                  <c:v>Small Business</c:v>
                </c:pt>
              </c:strCache>
            </c:strRef>
          </c:cat>
          <c:val>
            <c:numRef>
              <c:f>'Customer Analysis'!$C$3:$C$4</c:f>
              <c:numCache>
                <c:formatCode>\₹#,##0.00</c:formatCode>
                <c:ptCount val="2"/>
                <c:pt idx="0">
                  <c:v>14275</c:v>
                </c:pt>
                <c:pt idx="1">
                  <c:v>11800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0-4F75-A93E-CA1FA3202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278879"/>
        <c:axId val="1831716623"/>
      </c:barChart>
      <c:catAx>
        <c:axId val="180727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16623"/>
        <c:crosses val="autoZero"/>
        <c:auto val="1"/>
        <c:lblAlgn val="ctr"/>
        <c:lblOffset val="100"/>
        <c:noMultiLvlLbl val="0"/>
      </c:catAx>
      <c:valAx>
        <c:axId val="18317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7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Analysis'!$C$2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Analysis'!$A$3:$A$14</c:f>
              <c:strCache>
                <c:ptCount val="12"/>
                <c:pt idx="0">
                  <c:v>Decor Lamp</c:v>
                </c:pt>
                <c:pt idx="1">
                  <c:v>Wall Art</c:v>
                </c:pt>
                <c:pt idx="2">
                  <c:v>Storage Basket</c:v>
                </c:pt>
                <c:pt idx="3">
                  <c:v>Gift Box</c:v>
                </c:pt>
                <c:pt idx="4">
                  <c:v>Scented Candle</c:v>
                </c:pt>
                <c:pt idx="5">
                  <c:v>Kitchen Set</c:v>
                </c:pt>
                <c:pt idx="6">
                  <c:v>Ceramic Vase</c:v>
                </c:pt>
                <c:pt idx="7">
                  <c:v>Notebook Set</c:v>
                </c:pt>
                <c:pt idx="8">
                  <c:v>Serving Tray</c:v>
                </c:pt>
                <c:pt idx="9">
                  <c:v>Photo Frame</c:v>
                </c:pt>
                <c:pt idx="10">
                  <c:v>Planner</c:v>
                </c:pt>
                <c:pt idx="11">
                  <c:v>Pen Set</c:v>
                </c:pt>
              </c:strCache>
            </c:strRef>
          </c:cat>
          <c:val>
            <c:numRef>
              <c:f>'Product Analysis'!$C$3:$C$14</c:f>
              <c:numCache>
                <c:formatCode>\₹#,##0.00</c:formatCode>
                <c:ptCount val="12"/>
                <c:pt idx="0">
                  <c:v>5000</c:v>
                </c:pt>
                <c:pt idx="1">
                  <c:v>3300</c:v>
                </c:pt>
                <c:pt idx="2">
                  <c:v>3000</c:v>
                </c:pt>
                <c:pt idx="3">
                  <c:v>2550</c:v>
                </c:pt>
                <c:pt idx="4">
                  <c:v>2375</c:v>
                </c:pt>
                <c:pt idx="5">
                  <c:v>2250</c:v>
                </c:pt>
                <c:pt idx="6">
                  <c:v>1800</c:v>
                </c:pt>
                <c:pt idx="7">
                  <c:v>1600</c:v>
                </c:pt>
                <c:pt idx="8">
                  <c:v>1600</c:v>
                </c:pt>
                <c:pt idx="9">
                  <c:v>1100</c:v>
                </c:pt>
                <c:pt idx="10">
                  <c:v>800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F-4E99-AF79-3D71C30E3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247872"/>
        <c:axId val="1580754768"/>
      </c:barChart>
      <c:catAx>
        <c:axId val="144124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54768"/>
        <c:crosses val="autoZero"/>
        <c:auto val="1"/>
        <c:lblAlgn val="ctr"/>
        <c:lblOffset val="100"/>
        <c:noMultiLvlLbl val="0"/>
      </c:catAx>
      <c:valAx>
        <c:axId val="158075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4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— Jan to Mar 2026.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Analysis'!$A$3:$A$5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'Monthly Analysis'!$B$3:$B$5</c:f>
              <c:numCache>
                <c:formatCode>\₹#,##0.00</c:formatCode>
                <c:ptCount val="3"/>
                <c:pt idx="0">
                  <c:v>5250</c:v>
                </c:pt>
                <c:pt idx="1">
                  <c:v>8150</c:v>
                </c:pt>
                <c:pt idx="2">
                  <c:v>12675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3-4C4B-B22F-2F899DF6B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702575"/>
        <c:axId val="1544669807"/>
      </c:barChart>
      <c:catAx>
        <c:axId val="18177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69807"/>
        <c:crosses val="autoZero"/>
        <c:auto val="1"/>
        <c:lblAlgn val="ctr"/>
        <c:lblOffset val="100"/>
        <c:noMultiLvlLbl val="0"/>
      </c:catAx>
      <c:valAx>
        <c:axId val="15446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70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15240</xdr:rowOff>
    </xdr:from>
    <xdr:to>
      <xdr:col>12</xdr:col>
      <xdr:colOff>525780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7013A-42E3-03B4-3672-726F44A02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</xdr:row>
      <xdr:rowOff>160020</xdr:rowOff>
    </xdr:from>
    <xdr:to>
      <xdr:col>13</xdr:col>
      <xdr:colOff>312420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E2570-E1F6-9550-BD26-CC677180B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960120</xdr:colOff>
      <xdr:row>5</xdr:row>
      <xdr:rowOff>99060</xdr:rowOff>
    </xdr:from>
    <xdr:to>
      <xdr:col>10</xdr:col>
      <xdr:colOff>15240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3F0B9-B462-0EBC-0E76-1387C33C5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838200</xdr:colOff>
      <xdr:row>5</xdr:row>
      <xdr:rowOff>99060</xdr:rowOff>
    </xdr:from>
    <xdr:to>
      <xdr:col>7</xdr:col>
      <xdr:colOff>487680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CC7BF-D9D8-9E65-4F62-7E1CFA637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1</xdr:row>
      <xdr:rowOff>167640</xdr:rowOff>
    </xdr:from>
    <xdr:to>
      <xdr:col>12</xdr:col>
      <xdr:colOff>167640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4761B-0C70-908B-8CF1-3D315B1B9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5</xdr:row>
      <xdr:rowOff>99060</xdr:rowOff>
    </xdr:from>
    <xdr:to>
      <xdr:col>11</xdr:col>
      <xdr:colOff>518160</xdr:colOff>
      <xdr:row>20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A752D8-81B5-839D-3A5E-BD50781A6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ecia" refreshedDate="46297.71898784722" createdVersion="8" refreshedVersion="8" minRefreshableVersion="3" recordCount="20" xr:uid="{32C98D51-6066-4F5F-965C-322A4EA8426F}">
  <cacheSource type="worksheet">
    <worksheetSource name="SalesData"/>
  </cacheSource>
  <cacheFields count="12">
    <cacheField name="Order_ID" numFmtId="0">
      <sharedItems/>
    </cacheField>
    <cacheField name="Order_Date" numFmtId="164">
      <sharedItems containsSemiMixedTypes="0" containsNonDate="0" containsDate="1" containsString="0" minDate="2026-01-05T00:00:00" maxDate="2026-03-30T00:00:00"/>
    </cacheField>
    <cacheField name="Region" numFmtId="0">
      <sharedItems count="2">
        <s v="West"/>
        <s v="Central"/>
      </sharedItems>
    </cacheField>
    <cacheField name="Customer_Segment" numFmtId="0">
      <sharedItems count="2">
        <s v="Small Business"/>
        <s v="Individual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Net_Sales" numFmtId="165">
      <sharedItems containsSemiMixedTypes="0" containsString="0" containsNumber="1" containsInteger="1" minValue="600" maxValue="2500"/>
    </cacheField>
    <cacheField name="Product_Cost" numFmtId="165">
      <sharedItems containsSemiMixedTypes="0" containsString="0" containsNumber="1" containsInteger="1" minValue="350" maxValue="1500"/>
    </cacheField>
    <cacheField name="Profit" numFmtId="165">
      <sharedItems containsSemiMixedTypes="0" containsString="0" containsNumber="1" containsInteger="1" minValue="210" maxValue="1000"/>
    </cacheField>
    <cacheField name="Calculated Profit" numFmtId="44">
      <sharedItems containsSemiMixedTypes="0" containsString="0" containsNumber="1" containsInteger="1" minValue="210" maxValue="1000"/>
    </cacheField>
    <cacheField name="Profit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BB010"/>
    <d v="2026-02-22T00:00:00"/>
    <x v="0"/>
    <x v="0"/>
    <s v="Decor Lamp"/>
    <s v="Home Decor"/>
    <n v="1"/>
    <n v="2500"/>
    <n v="1500"/>
    <n v="1000"/>
    <n v="1000"/>
    <s v="Match"/>
  </r>
  <r>
    <s v="BB014"/>
    <d v="2026-03-12T00:00:00"/>
    <x v="0"/>
    <x v="0"/>
    <s v="Decor Lamp"/>
    <s v="Home Decor"/>
    <n v="1"/>
    <n v="2500"/>
    <n v="1500"/>
    <n v="1000"/>
    <n v="1000"/>
    <s v="Match"/>
  </r>
  <r>
    <s v="BB006"/>
    <d v="2026-02-03T00:00:00"/>
    <x v="0"/>
    <x v="0"/>
    <s v="Wall Art"/>
    <s v="Home Decor"/>
    <n v="2"/>
    <n v="2200"/>
    <n v="1300"/>
    <n v="900"/>
    <n v="900"/>
    <s v="Match"/>
  </r>
  <r>
    <s v="BB008"/>
    <d v="2026-02-14T00:00:00"/>
    <x v="0"/>
    <x v="1"/>
    <s v="Storage Basket"/>
    <s v="Kitchen"/>
    <n v="3"/>
    <n v="1800"/>
    <n v="1100"/>
    <n v="700"/>
    <n v="700"/>
    <s v="Match"/>
  </r>
  <r>
    <s v="BB015"/>
    <d v="2026-03-15T00:00:00"/>
    <x v="1"/>
    <x v="1"/>
    <s v="Gift Box"/>
    <s v="Gifts"/>
    <n v="2"/>
    <n v="1700"/>
    <n v="1000"/>
    <n v="700"/>
    <n v="700"/>
    <s v="Match"/>
  </r>
  <r>
    <s v="BB011"/>
    <d v="2026-03-02T00:00:00"/>
    <x v="0"/>
    <x v="1"/>
    <s v="Serving Tray"/>
    <s v="Kitchen"/>
    <n v="2"/>
    <n v="1600"/>
    <n v="950"/>
    <n v="650"/>
    <n v="650"/>
    <s v="Match"/>
  </r>
  <r>
    <s v="BB003"/>
    <d v="2026-01-15T00:00:00"/>
    <x v="0"/>
    <x v="0"/>
    <s v="Kitchen Set"/>
    <s v="Kitchen"/>
    <n v="2"/>
    <n v="1500"/>
    <n v="900"/>
    <n v="600"/>
    <n v="600"/>
    <s v="Match"/>
  </r>
  <r>
    <s v="BB020"/>
    <d v="2026-03-29T00:00:00"/>
    <x v="0"/>
    <x v="1"/>
    <s v="Scented Candle"/>
    <s v="Gifts"/>
    <n v="3"/>
    <n v="1425"/>
    <n v="900"/>
    <n v="525"/>
    <n v="525"/>
    <s v="Match"/>
  </r>
  <r>
    <s v="BB001"/>
    <d v="2026-01-05T00:00:00"/>
    <x v="0"/>
    <x v="1"/>
    <s v="Ceramic Vase"/>
    <s v="Home Decor"/>
    <n v="2"/>
    <n v="1200"/>
    <n v="700"/>
    <n v="500"/>
    <n v="500"/>
    <s v="Match"/>
  </r>
  <r>
    <s v="BB019"/>
    <d v="2026-03-27T00:00:00"/>
    <x v="1"/>
    <x v="1"/>
    <s v="Storage Basket"/>
    <s v="Kitchen"/>
    <n v="2"/>
    <n v="1200"/>
    <n v="740"/>
    <n v="460"/>
    <n v="460"/>
    <s v="Match"/>
  </r>
  <r>
    <s v="BB005"/>
    <d v="2026-01-25T00:00:00"/>
    <x v="0"/>
    <x v="1"/>
    <s v="Wall Art"/>
    <s v="Home Decor"/>
    <n v="1"/>
    <n v="1100"/>
    <n v="650"/>
    <n v="450"/>
    <n v="450"/>
    <s v="Match"/>
  </r>
  <r>
    <s v="BB012"/>
    <d v="2026-03-05T00:00:00"/>
    <x v="1"/>
    <x v="1"/>
    <s v="Photo Frame"/>
    <s v="Gifts"/>
    <n v="2"/>
    <n v="1100"/>
    <n v="720"/>
    <n v="380"/>
    <n v="380"/>
    <s v="Match"/>
  </r>
  <r>
    <s v="BB017"/>
    <d v="2026-03-20T00:00:00"/>
    <x v="1"/>
    <x v="0"/>
    <s v="Notebook Set"/>
    <s v="Stationery"/>
    <n v="5"/>
    <n v="1000"/>
    <n v="650"/>
    <n v="350"/>
    <n v="350"/>
    <s v="Match"/>
  </r>
  <r>
    <s v="BB007"/>
    <d v="2026-02-08T00:00:00"/>
    <x v="1"/>
    <x v="1"/>
    <s v="Scented Candle"/>
    <s v="Gifts"/>
    <n v="2"/>
    <n v="950"/>
    <n v="600"/>
    <n v="350"/>
    <n v="350"/>
    <s v="Match"/>
  </r>
  <r>
    <s v="BB002"/>
    <d v="2026-01-09T00:00:00"/>
    <x v="1"/>
    <x v="1"/>
    <s v="Gift Box"/>
    <s v="Gifts"/>
    <n v="1"/>
    <n v="850"/>
    <n v="500"/>
    <n v="350"/>
    <n v="350"/>
    <s v="Match"/>
  </r>
  <r>
    <s v="BB013"/>
    <d v="2026-03-10T00:00:00"/>
    <x v="1"/>
    <x v="0"/>
    <s v="Planner"/>
    <s v="Stationery"/>
    <n v="4"/>
    <n v="800"/>
    <n v="520"/>
    <n v="280"/>
    <n v="280"/>
    <s v="Match"/>
  </r>
  <r>
    <s v="BB016"/>
    <d v="2026-03-18T00:00:00"/>
    <x v="0"/>
    <x v="1"/>
    <s v="Kitchen Set"/>
    <s v="Kitchen"/>
    <n v="1"/>
    <n v="750"/>
    <n v="450"/>
    <n v="300"/>
    <n v="300"/>
    <s v="Match"/>
  </r>
  <r>
    <s v="BB009"/>
    <d v="2026-02-19T00:00:00"/>
    <x v="1"/>
    <x v="0"/>
    <s v="Pen Set"/>
    <s v="Stationery"/>
    <n v="2"/>
    <n v="700"/>
    <n v="450"/>
    <n v="250"/>
    <n v="250"/>
    <s v="Match"/>
  </r>
  <r>
    <s v="BB004"/>
    <d v="2026-01-21T00:00:00"/>
    <x v="1"/>
    <x v="1"/>
    <s v="Notebook Set"/>
    <s v="Stationery"/>
    <n v="3"/>
    <n v="600"/>
    <n v="390"/>
    <n v="210"/>
    <n v="210"/>
    <s v="Match"/>
  </r>
  <r>
    <s v="BB018"/>
    <d v="2026-03-23T00:00:00"/>
    <x v="0"/>
    <x v="0"/>
    <s v="Ceramic Vase"/>
    <s v="Home Decor"/>
    <n v="1"/>
    <n v="600"/>
    <n v="350"/>
    <n v="250"/>
    <n v="250"/>
    <s v="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B07C1-EF73-4DBB-8F41-F4DF33A49C1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G6" firstHeaderRow="1" firstDataRow="3" firstDataCol="1"/>
  <pivotFields count="12">
    <pivotField showAll="0"/>
    <pivotField numFmtId="164"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numFmtId="165" showAll="0"/>
    <pivotField numFmtId="165" showAll="0"/>
    <pivotField dataField="1" numFmtId="165" showAll="0"/>
    <pivotField numFmtId="44" showAll="0"/>
    <pivotField showAll="0"/>
  </pivotFields>
  <rowFields count="1">
    <field x="2"/>
  </rowFields>
  <rowItems count="3">
    <i>
      <x/>
    </i>
    <i>
      <x v="1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Net_Sales" fld="7" baseField="0" baseItem="0" numFmtId="165"/>
    <dataField name="Sum of Profit" fld="9" baseField="0" baseItem="0" numFmtId="165"/>
  </dataFields>
  <chartFormats count="4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L21">
  <autoFilter ref="A1:L21" xr:uid="{00000000-0009-0000-0100-000001000000}"/>
  <sortState xmlns:xlrd2="http://schemas.microsoft.com/office/spreadsheetml/2017/richdata2" ref="A2:J21">
    <sortCondition descending="1" ref="H1:H21"/>
  </sortState>
  <tableColumns count="12">
    <tableColumn id="1" xr3:uid="{00000000-0010-0000-0000-000001000000}" name="Order_ID"/>
    <tableColumn id="2" xr3:uid="{00000000-0010-0000-0000-000002000000}" name="Order_Date"/>
    <tableColumn id="3" xr3:uid="{00000000-0010-0000-0000-000003000000}" name="Region"/>
    <tableColumn id="4" xr3:uid="{00000000-0010-0000-0000-000004000000}" name="Customer_Segment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Net_Sales"/>
    <tableColumn id="9" xr3:uid="{00000000-0010-0000-0000-000009000000}" name="Product_Cost"/>
    <tableColumn id="10" xr3:uid="{00000000-0010-0000-0000-00000A000000}" name="Profit"/>
    <tableColumn id="11" xr3:uid="{53574E0B-4FDC-44F3-9759-8CD1021FBA3B}" name="Calculated Profit" dataCellStyle="Currency">
      <calculatedColumnFormula>H2-I2</calculatedColumnFormula>
    </tableColumn>
    <tableColumn id="12" xr3:uid="{E877C43E-0078-452D-B5E4-5CB5521964B0}" name="Profit_Check" dataDxfId="3">
      <calculatedColumnFormula>IF(SalesData[[#This Row],[Calculated Profit]]=SalesData[[#This Row],[Profit]],"Match","Check")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E0B4-A169-4A75-BD08-71AE0E75EF0D}">
  <dimension ref="A1:G6"/>
  <sheetViews>
    <sheetView workbookViewId="0">
      <selection activeCell="L6" sqref="L6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2.109375" bestFit="1" customWidth="1"/>
    <col min="4" max="4" width="15.77734375" bestFit="1" customWidth="1"/>
    <col min="5" max="5" width="12.109375" bestFit="1" customWidth="1"/>
    <col min="6" max="6" width="20.5546875" bestFit="1" customWidth="1"/>
    <col min="7" max="7" width="16.88671875" bestFit="1" customWidth="1"/>
  </cols>
  <sheetData>
    <row r="1" spans="1:7" x14ac:dyDescent="0.3">
      <c r="B1" s="10" t="s">
        <v>102</v>
      </c>
    </row>
    <row r="2" spans="1:7" x14ac:dyDescent="0.3">
      <c r="B2" t="s">
        <v>12</v>
      </c>
      <c r="D2" t="s">
        <v>20</v>
      </c>
      <c r="F2" t="s">
        <v>106</v>
      </c>
      <c r="G2" t="s">
        <v>107</v>
      </c>
    </row>
    <row r="3" spans="1:7" x14ac:dyDescent="0.3">
      <c r="A3" s="10" t="s">
        <v>103</v>
      </c>
      <c r="B3" t="s">
        <v>105</v>
      </c>
      <c r="C3" t="s">
        <v>101</v>
      </c>
      <c r="D3" t="s">
        <v>105</v>
      </c>
      <c r="E3" t="s">
        <v>101</v>
      </c>
    </row>
    <row r="4" spans="1:7" x14ac:dyDescent="0.3">
      <c r="A4" s="11" t="s">
        <v>16</v>
      </c>
      <c r="B4" s="3">
        <v>6400</v>
      </c>
      <c r="C4" s="3">
        <v>2450</v>
      </c>
      <c r="D4" s="3">
        <v>2500</v>
      </c>
      <c r="E4" s="3">
        <v>880</v>
      </c>
      <c r="F4" s="3">
        <v>8900</v>
      </c>
      <c r="G4" s="3">
        <v>3330</v>
      </c>
    </row>
    <row r="5" spans="1:7" x14ac:dyDescent="0.3">
      <c r="A5" s="11" t="s">
        <v>11</v>
      </c>
      <c r="B5" s="3">
        <v>7875</v>
      </c>
      <c r="C5" s="3">
        <v>3125</v>
      </c>
      <c r="D5" s="3">
        <v>9300</v>
      </c>
      <c r="E5" s="3">
        <v>3750</v>
      </c>
      <c r="F5" s="3">
        <v>17175</v>
      </c>
      <c r="G5" s="3">
        <v>6875</v>
      </c>
    </row>
    <row r="6" spans="1:7" x14ac:dyDescent="0.3">
      <c r="A6" s="11" t="s">
        <v>104</v>
      </c>
      <c r="B6" s="3">
        <v>14275</v>
      </c>
      <c r="C6" s="3">
        <v>5575</v>
      </c>
      <c r="D6" s="3">
        <v>11800</v>
      </c>
      <c r="E6" s="3">
        <v>4630</v>
      </c>
      <c r="F6" s="3">
        <v>26075</v>
      </c>
      <c r="G6" s="3">
        <v>10205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showGridLines="0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5" width="20" customWidth="1"/>
    <col min="6" max="6" width="16" customWidth="1"/>
    <col min="7" max="7" width="12" customWidth="1"/>
    <col min="8" max="9" width="15" customWidth="1"/>
    <col min="10" max="10" width="14" customWidth="1"/>
    <col min="11" max="11" width="17.21875" style="6" bestFit="1" customWidth="1"/>
    <col min="12" max="12" width="14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99</v>
      </c>
      <c r="L1" t="s">
        <v>100</v>
      </c>
    </row>
    <row r="2" spans="1:12" x14ac:dyDescent="0.3">
      <c r="A2" t="s">
        <v>35</v>
      </c>
      <c r="B2" s="2">
        <v>46075</v>
      </c>
      <c r="C2" t="s">
        <v>11</v>
      </c>
      <c r="D2" t="s">
        <v>20</v>
      </c>
      <c r="E2" t="s">
        <v>36</v>
      </c>
      <c r="F2" t="s">
        <v>14</v>
      </c>
      <c r="G2">
        <v>1</v>
      </c>
      <c r="H2" s="3">
        <v>2500</v>
      </c>
      <c r="I2" s="3">
        <v>1500</v>
      </c>
      <c r="J2" s="3">
        <v>1000</v>
      </c>
      <c r="K2" s="6">
        <f t="shared" ref="K2:K21" si="0">H2-I2</f>
        <v>1000</v>
      </c>
      <c r="L2" t="str">
        <f>IF(SalesData[[#This Row],[Calculated Profit]]=SalesData[[#This Row],[Profit]],"Match","Check")</f>
        <v>Match</v>
      </c>
    </row>
    <row r="3" spans="1:12" x14ac:dyDescent="0.3">
      <c r="A3" t="s">
        <v>43</v>
      </c>
      <c r="B3" s="2">
        <v>46093</v>
      </c>
      <c r="C3" t="s">
        <v>11</v>
      </c>
      <c r="D3" t="s">
        <v>20</v>
      </c>
      <c r="E3" t="s">
        <v>36</v>
      </c>
      <c r="F3" t="s">
        <v>14</v>
      </c>
      <c r="G3">
        <v>1</v>
      </c>
      <c r="H3" s="3">
        <v>2500</v>
      </c>
      <c r="I3" s="3">
        <v>1500</v>
      </c>
      <c r="J3" s="3">
        <v>1000</v>
      </c>
      <c r="K3" s="6">
        <f t="shared" si="0"/>
        <v>1000</v>
      </c>
      <c r="L3" t="str">
        <f>IF(SalesData[[#This Row],[Calculated Profit]]=SalesData[[#This Row],[Profit]],"Match","Check")</f>
        <v>Match</v>
      </c>
    </row>
    <row r="4" spans="1:12" x14ac:dyDescent="0.3">
      <c r="A4" t="s">
        <v>28</v>
      </c>
      <c r="B4" s="2">
        <v>46056</v>
      </c>
      <c r="C4" t="s">
        <v>11</v>
      </c>
      <c r="D4" t="s">
        <v>20</v>
      </c>
      <c r="E4" t="s">
        <v>27</v>
      </c>
      <c r="F4" t="s">
        <v>14</v>
      </c>
      <c r="G4">
        <v>2</v>
      </c>
      <c r="H4" s="3">
        <v>2200</v>
      </c>
      <c r="I4" s="3">
        <v>1300</v>
      </c>
      <c r="J4" s="3">
        <v>900</v>
      </c>
      <c r="K4" s="6">
        <f t="shared" si="0"/>
        <v>900</v>
      </c>
      <c r="L4" t="str">
        <f>IF(SalesData[[#This Row],[Calculated Profit]]=SalesData[[#This Row],[Profit]],"Match","Check")</f>
        <v>Match</v>
      </c>
    </row>
    <row r="5" spans="1:12" x14ac:dyDescent="0.3">
      <c r="A5" t="s">
        <v>31</v>
      </c>
      <c r="B5" s="2">
        <v>46067</v>
      </c>
      <c r="C5" t="s">
        <v>11</v>
      </c>
      <c r="D5" t="s">
        <v>12</v>
      </c>
      <c r="E5" t="s">
        <v>32</v>
      </c>
      <c r="F5" t="s">
        <v>22</v>
      </c>
      <c r="G5">
        <v>3</v>
      </c>
      <c r="H5" s="3">
        <v>1800</v>
      </c>
      <c r="I5" s="3">
        <v>1100</v>
      </c>
      <c r="J5" s="3">
        <v>700</v>
      </c>
      <c r="K5" s="6">
        <f t="shared" si="0"/>
        <v>700</v>
      </c>
      <c r="L5" t="str">
        <f>IF(SalesData[[#This Row],[Calculated Profit]]=SalesData[[#This Row],[Profit]],"Match","Check")</f>
        <v>Match</v>
      </c>
    </row>
    <row r="6" spans="1:12" x14ac:dyDescent="0.3">
      <c r="A6" t="s">
        <v>44</v>
      </c>
      <c r="B6" s="2">
        <v>46096</v>
      </c>
      <c r="C6" t="s">
        <v>16</v>
      </c>
      <c r="D6" t="s">
        <v>12</v>
      </c>
      <c r="E6" t="s">
        <v>17</v>
      </c>
      <c r="F6" t="s">
        <v>18</v>
      </c>
      <c r="G6">
        <v>2</v>
      </c>
      <c r="H6" s="3">
        <v>1700</v>
      </c>
      <c r="I6" s="3">
        <v>1000</v>
      </c>
      <c r="J6" s="3">
        <v>700</v>
      </c>
      <c r="K6" s="6">
        <f t="shared" si="0"/>
        <v>700</v>
      </c>
      <c r="L6" t="str">
        <f>IF(SalesData[[#This Row],[Calculated Profit]]=SalesData[[#This Row],[Profit]],"Match","Check")</f>
        <v>Match</v>
      </c>
    </row>
    <row r="7" spans="1:12" x14ac:dyDescent="0.3">
      <c r="A7" t="s">
        <v>37</v>
      </c>
      <c r="B7" s="2">
        <v>46083</v>
      </c>
      <c r="C7" t="s">
        <v>11</v>
      </c>
      <c r="D7" t="s">
        <v>12</v>
      </c>
      <c r="E7" t="s">
        <v>38</v>
      </c>
      <c r="F7" t="s">
        <v>22</v>
      </c>
      <c r="G7">
        <v>2</v>
      </c>
      <c r="H7" s="3">
        <v>1600</v>
      </c>
      <c r="I7" s="3">
        <v>950</v>
      </c>
      <c r="J7" s="3">
        <v>650</v>
      </c>
      <c r="K7" s="6">
        <f t="shared" si="0"/>
        <v>650</v>
      </c>
      <c r="L7" t="str">
        <f>IF(SalesData[[#This Row],[Calculated Profit]]=SalesData[[#This Row],[Profit]],"Match","Check")</f>
        <v>Match</v>
      </c>
    </row>
    <row r="8" spans="1:12" x14ac:dyDescent="0.3">
      <c r="A8" t="s">
        <v>19</v>
      </c>
      <c r="B8" s="2">
        <v>46037</v>
      </c>
      <c r="C8" t="s">
        <v>11</v>
      </c>
      <c r="D8" t="s">
        <v>20</v>
      </c>
      <c r="E8" t="s">
        <v>21</v>
      </c>
      <c r="F8" t="s">
        <v>22</v>
      </c>
      <c r="G8">
        <v>2</v>
      </c>
      <c r="H8" s="3">
        <v>1500</v>
      </c>
      <c r="I8" s="3">
        <v>900</v>
      </c>
      <c r="J8" s="3">
        <v>600</v>
      </c>
      <c r="K8" s="6">
        <f t="shared" si="0"/>
        <v>600</v>
      </c>
      <c r="L8" t="str">
        <f>IF(SalesData[[#This Row],[Calculated Profit]]=SalesData[[#This Row],[Profit]],"Match","Check")</f>
        <v>Match</v>
      </c>
    </row>
    <row r="9" spans="1:12" x14ac:dyDescent="0.3">
      <c r="A9" t="s">
        <v>49</v>
      </c>
      <c r="B9" s="2">
        <v>46110</v>
      </c>
      <c r="C9" t="s">
        <v>11</v>
      </c>
      <c r="D9" t="s">
        <v>12</v>
      </c>
      <c r="E9" t="s">
        <v>30</v>
      </c>
      <c r="F9" t="s">
        <v>18</v>
      </c>
      <c r="G9">
        <v>3</v>
      </c>
      <c r="H9" s="3">
        <v>1425</v>
      </c>
      <c r="I9" s="3">
        <v>900</v>
      </c>
      <c r="J9" s="3">
        <v>525</v>
      </c>
      <c r="K9" s="6">
        <f t="shared" si="0"/>
        <v>525</v>
      </c>
      <c r="L9" t="str">
        <f>IF(SalesData[[#This Row],[Calculated Profit]]=SalesData[[#This Row],[Profit]],"Match","Check")</f>
        <v>Match</v>
      </c>
    </row>
    <row r="10" spans="1:12" x14ac:dyDescent="0.3">
      <c r="A10" t="s">
        <v>10</v>
      </c>
      <c r="B10" s="2">
        <v>46027</v>
      </c>
      <c r="C10" t="s">
        <v>11</v>
      </c>
      <c r="D10" t="s">
        <v>12</v>
      </c>
      <c r="E10" t="s">
        <v>13</v>
      </c>
      <c r="F10" t="s">
        <v>14</v>
      </c>
      <c r="G10">
        <v>2</v>
      </c>
      <c r="H10" s="3">
        <v>1200</v>
      </c>
      <c r="I10" s="3">
        <v>700</v>
      </c>
      <c r="J10" s="3">
        <v>500</v>
      </c>
      <c r="K10" s="6">
        <f t="shared" si="0"/>
        <v>500</v>
      </c>
      <c r="L10" t="str">
        <f>IF(SalesData[[#This Row],[Calculated Profit]]=SalesData[[#This Row],[Profit]],"Match","Check")</f>
        <v>Match</v>
      </c>
    </row>
    <row r="11" spans="1:12" x14ac:dyDescent="0.3">
      <c r="A11" t="s">
        <v>48</v>
      </c>
      <c r="B11" s="2">
        <v>46108</v>
      </c>
      <c r="C11" t="s">
        <v>16</v>
      </c>
      <c r="D11" t="s">
        <v>12</v>
      </c>
      <c r="E11" t="s">
        <v>32</v>
      </c>
      <c r="F11" t="s">
        <v>22</v>
      </c>
      <c r="G11">
        <v>2</v>
      </c>
      <c r="H11" s="3">
        <v>1200</v>
      </c>
      <c r="I11" s="3">
        <v>740</v>
      </c>
      <c r="J11" s="3">
        <v>460</v>
      </c>
      <c r="K11" s="6">
        <f t="shared" si="0"/>
        <v>460</v>
      </c>
      <c r="L11" t="str">
        <f>IF(SalesData[[#This Row],[Calculated Profit]]=SalesData[[#This Row],[Profit]],"Match","Check")</f>
        <v>Match</v>
      </c>
    </row>
    <row r="12" spans="1:12" x14ac:dyDescent="0.3">
      <c r="A12" t="s">
        <v>26</v>
      </c>
      <c r="B12" s="2">
        <v>46047</v>
      </c>
      <c r="C12" t="s">
        <v>11</v>
      </c>
      <c r="D12" t="s">
        <v>12</v>
      </c>
      <c r="E12" t="s">
        <v>27</v>
      </c>
      <c r="F12" t="s">
        <v>14</v>
      </c>
      <c r="G12">
        <v>1</v>
      </c>
      <c r="H12" s="3">
        <v>1100</v>
      </c>
      <c r="I12" s="3">
        <v>650</v>
      </c>
      <c r="J12" s="3">
        <v>450</v>
      </c>
      <c r="K12" s="6">
        <f t="shared" si="0"/>
        <v>450</v>
      </c>
      <c r="L12" t="str">
        <f>IF(SalesData[[#This Row],[Calculated Profit]]=SalesData[[#This Row],[Profit]],"Match","Check")</f>
        <v>Match</v>
      </c>
    </row>
    <row r="13" spans="1:12" x14ac:dyDescent="0.3">
      <c r="A13" t="s">
        <v>39</v>
      </c>
      <c r="B13" s="2">
        <v>46086</v>
      </c>
      <c r="C13" t="s">
        <v>16</v>
      </c>
      <c r="D13" t="s">
        <v>12</v>
      </c>
      <c r="E13" t="s">
        <v>40</v>
      </c>
      <c r="F13" t="s">
        <v>18</v>
      </c>
      <c r="G13">
        <v>2</v>
      </c>
      <c r="H13" s="3">
        <v>1100</v>
      </c>
      <c r="I13" s="3">
        <v>720</v>
      </c>
      <c r="J13" s="3">
        <v>380</v>
      </c>
      <c r="K13" s="6">
        <f t="shared" si="0"/>
        <v>380</v>
      </c>
      <c r="L13" t="str">
        <f>IF(SalesData[[#This Row],[Calculated Profit]]=SalesData[[#This Row],[Profit]],"Match","Check")</f>
        <v>Match</v>
      </c>
    </row>
    <row r="14" spans="1:12" x14ac:dyDescent="0.3">
      <c r="A14" t="s">
        <v>46</v>
      </c>
      <c r="B14" s="2">
        <v>46101</v>
      </c>
      <c r="C14" t="s">
        <v>16</v>
      </c>
      <c r="D14" t="s">
        <v>20</v>
      </c>
      <c r="E14" t="s">
        <v>24</v>
      </c>
      <c r="F14" t="s">
        <v>25</v>
      </c>
      <c r="G14">
        <v>5</v>
      </c>
      <c r="H14" s="3">
        <v>1000</v>
      </c>
      <c r="I14" s="3">
        <v>650</v>
      </c>
      <c r="J14" s="3">
        <v>350</v>
      </c>
      <c r="K14" s="6">
        <f t="shared" si="0"/>
        <v>350</v>
      </c>
      <c r="L14" t="str">
        <f>IF(SalesData[[#This Row],[Calculated Profit]]=SalesData[[#This Row],[Profit]],"Match","Check")</f>
        <v>Match</v>
      </c>
    </row>
    <row r="15" spans="1:12" x14ac:dyDescent="0.3">
      <c r="A15" t="s">
        <v>29</v>
      </c>
      <c r="B15" s="2">
        <v>46061</v>
      </c>
      <c r="C15" t="s">
        <v>16</v>
      </c>
      <c r="D15" t="s">
        <v>12</v>
      </c>
      <c r="E15" t="s">
        <v>30</v>
      </c>
      <c r="F15" t="s">
        <v>18</v>
      </c>
      <c r="G15">
        <v>2</v>
      </c>
      <c r="H15" s="3">
        <v>950</v>
      </c>
      <c r="I15" s="3">
        <v>600</v>
      </c>
      <c r="J15" s="3">
        <v>350</v>
      </c>
      <c r="K15" s="6">
        <f t="shared" si="0"/>
        <v>350</v>
      </c>
      <c r="L15" t="str">
        <f>IF(SalesData[[#This Row],[Calculated Profit]]=SalesData[[#This Row],[Profit]],"Match","Check")</f>
        <v>Match</v>
      </c>
    </row>
    <row r="16" spans="1:12" x14ac:dyDescent="0.3">
      <c r="A16" t="s">
        <v>15</v>
      </c>
      <c r="B16" s="2">
        <v>46031</v>
      </c>
      <c r="C16" t="s">
        <v>16</v>
      </c>
      <c r="D16" t="s">
        <v>12</v>
      </c>
      <c r="E16" t="s">
        <v>17</v>
      </c>
      <c r="F16" t="s">
        <v>18</v>
      </c>
      <c r="G16">
        <v>1</v>
      </c>
      <c r="H16" s="3">
        <v>850</v>
      </c>
      <c r="I16" s="3">
        <v>500</v>
      </c>
      <c r="J16" s="3">
        <v>350</v>
      </c>
      <c r="K16" s="6">
        <f t="shared" si="0"/>
        <v>350</v>
      </c>
      <c r="L16" t="str">
        <f>IF(SalesData[[#This Row],[Calculated Profit]]=SalesData[[#This Row],[Profit]],"Match","Check")</f>
        <v>Match</v>
      </c>
    </row>
    <row r="17" spans="1:12" x14ac:dyDescent="0.3">
      <c r="A17" t="s">
        <v>41</v>
      </c>
      <c r="B17" s="2">
        <v>46091</v>
      </c>
      <c r="C17" t="s">
        <v>16</v>
      </c>
      <c r="D17" t="s">
        <v>20</v>
      </c>
      <c r="E17" t="s">
        <v>42</v>
      </c>
      <c r="F17" t="s">
        <v>25</v>
      </c>
      <c r="G17">
        <v>4</v>
      </c>
      <c r="H17" s="3">
        <v>800</v>
      </c>
      <c r="I17" s="3">
        <v>520</v>
      </c>
      <c r="J17" s="3">
        <v>280</v>
      </c>
      <c r="K17" s="6">
        <f t="shared" si="0"/>
        <v>280</v>
      </c>
      <c r="L17" t="str">
        <f>IF(SalesData[[#This Row],[Calculated Profit]]=SalesData[[#This Row],[Profit]],"Match","Check")</f>
        <v>Match</v>
      </c>
    </row>
    <row r="18" spans="1:12" x14ac:dyDescent="0.3">
      <c r="A18" t="s">
        <v>45</v>
      </c>
      <c r="B18" s="2">
        <v>46099</v>
      </c>
      <c r="C18" t="s">
        <v>11</v>
      </c>
      <c r="D18" t="s">
        <v>12</v>
      </c>
      <c r="E18" t="s">
        <v>21</v>
      </c>
      <c r="F18" t="s">
        <v>22</v>
      </c>
      <c r="G18">
        <v>1</v>
      </c>
      <c r="H18" s="3">
        <v>750</v>
      </c>
      <c r="I18" s="3">
        <v>450</v>
      </c>
      <c r="J18" s="3">
        <v>300</v>
      </c>
      <c r="K18" s="6">
        <f t="shared" si="0"/>
        <v>300</v>
      </c>
      <c r="L18" t="str">
        <f>IF(SalesData[[#This Row],[Calculated Profit]]=SalesData[[#This Row],[Profit]],"Match","Check")</f>
        <v>Match</v>
      </c>
    </row>
    <row r="19" spans="1:12" x14ac:dyDescent="0.3">
      <c r="A19" t="s">
        <v>33</v>
      </c>
      <c r="B19" s="2">
        <v>46072</v>
      </c>
      <c r="C19" t="s">
        <v>16</v>
      </c>
      <c r="D19" t="s">
        <v>20</v>
      </c>
      <c r="E19" t="s">
        <v>34</v>
      </c>
      <c r="F19" t="s">
        <v>25</v>
      </c>
      <c r="G19">
        <v>2</v>
      </c>
      <c r="H19" s="3">
        <v>700</v>
      </c>
      <c r="I19" s="3">
        <v>450</v>
      </c>
      <c r="J19" s="3">
        <v>250</v>
      </c>
      <c r="K19" s="6">
        <f t="shared" si="0"/>
        <v>250</v>
      </c>
      <c r="L19" t="str">
        <f>IF(SalesData[[#This Row],[Calculated Profit]]=SalesData[[#This Row],[Profit]],"Match","Check")</f>
        <v>Match</v>
      </c>
    </row>
    <row r="20" spans="1:12" x14ac:dyDescent="0.3">
      <c r="A20" t="s">
        <v>23</v>
      </c>
      <c r="B20" s="2">
        <v>46043</v>
      </c>
      <c r="C20" t="s">
        <v>16</v>
      </c>
      <c r="D20" t="s">
        <v>12</v>
      </c>
      <c r="E20" t="s">
        <v>24</v>
      </c>
      <c r="F20" t="s">
        <v>25</v>
      </c>
      <c r="G20">
        <v>3</v>
      </c>
      <c r="H20" s="3">
        <v>600</v>
      </c>
      <c r="I20" s="3">
        <v>390</v>
      </c>
      <c r="J20" s="3">
        <v>210</v>
      </c>
      <c r="K20" s="6">
        <f t="shared" si="0"/>
        <v>210</v>
      </c>
      <c r="L20" t="str">
        <f>IF(SalesData[[#This Row],[Calculated Profit]]=SalesData[[#This Row],[Profit]],"Match","Check")</f>
        <v>Match</v>
      </c>
    </row>
    <row r="21" spans="1:12" x14ac:dyDescent="0.3">
      <c r="A21" t="s">
        <v>47</v>
      </c>
      <c r="B21" s="2">
        <v>46104</v>
      </c>
      <c r="C21" t="s">
        <v>11</v>
      </c>
      <c r="D21" t="s">
        <v>20</v>
      </c>
      <c r="E21" t="s">
        <v>13</v>
      </c>
      <c r="F21" t="s">
        <v>14</v>
      </c>
      <c r="G21">
        <v>1</v>
      </c>
      <c r="H21" s="3">
        <v>600</v>
      </c>
      <c r="I21" s="3">
        <v>350</v>
      </c>
      <c r="J21" s="3">
        <v>250</v>
      </c>
      <c r="K21" s="6">
        <f t="shared" si="0"/>
        <v>250</v>
      </c>
      <c r="L21" t="str">
        <f>IF(SalesData[[#This Row],[Calculated Profit]]=SalesData[[#This Row],[Profit]],"Match","Check")</f>
        <v>Match</v>
      </c>
    </row>
  </sheetData>
  <conditionalFormatting sqref="A1:A21">
    <cfRule type="duplicateValues" dxfId="2" priority="3"/>
  </conditionalFormatting>
  <conditionalFormatting sqref="A1:A1048576">
    <cfRule type="duplicateValues" dxfId="1" priority="1"/>
  </conditionalFormatting>
  <conditionalFormatting sqref="A2:A21">
    <cfRule type="duplicateValues" dxfId="0" priority="2"/>
  </conditionalFormatting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3"/>
  <sheetViews>
    <sheetView showGridLines="0"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8" customWidth="1"/>
    <col min="2" max="2" width="65" customWidth="1"/>
  </cols>
  <sheetData>
    <row r="1" spans="1:2" ht="21" x14ac:dyDescent="0.4">
      <c r="A1" s="7" t="s">
        <v>50</v>
      </c>
      <c r="B1" s="8"/>
    </row>
    <row r="2" spans="1:2" x14ac:dyDescent="0.3">
      <c r="A2" s="4" t="s">
        <v>51</v>
      </c>
      <c r="B2" s="4" t="s">
        <v>52</v>
      </c>
    </row>
    <row r="3" spans="1:2" x14ac:dyDescent="0.3">
      <c r="A3" t="s">
        <v>53</v>
      </c>
      <c r="B3" t="s">
        <v>54</v>
      </c>
    </row>
    <row r="4" spans="1:2" x14ac:dyDescent="0.3">
      <c r="A4" t="s">
        <v>55</v>
      </c>
      <c r="B4" t="s">
        <v>56</v>
      </c>
    </row>
    <row r="5" spans="1:2" x14ac:dyDescent="0.3">
      <c r="A5" t="s">
        <v>57</v>
      </c>
      <c r="B5" t="s">
        <v>58</v>
      </c>
    </row>
    <row r="6" spans="1:2" x14ac:dyDescent="0.3">
      <c r="A6" t="s">
        <v>59</v>
      </c>
      <c r="B6">
        <v>20</v>
      </c>
    </row>
    <row r="7" spans="1:2" x14ac:dyDescent="0.3">
      <c r="A7" t="s">
        <v>60</v>
      </c>
      <c r="B7">
        <v>10</v>
      </c>
    </row>
    <row r="8" spans="1:2" x14ac:dyDescent="0.3">
      <c r="A8" t="s">
        <v>61</v>
      </c>
      <c r="B8" t="s">
        <v>62</v>
      </c>
    </row>
    <row r="9" spans="1:2" x14ac:dyDescent="0.3">
      <c r="A9" t="s">
        <v>63</v>
      </c>
      <c r="B9">
        <v>2</v>
      </c>
    </row>
    <row r="10" spans="1:2" x14ac:dyDescent="0.3">
      <c r="A10" t="s">
        <v>64</v>
      </c>
      <c r="B10">
        <v>2</v>
      </c>
    </row>
    <row r="11" spans="1:2" x14ac:dyDescent="0.3">
      <c r="A11" t="s">
        <v>65</v>
      </c>
      <c r="B11">
        <v>4</v>
      </c>
    </row>
    <row r="12" spans="1:2" x14ac:dyDescent="0.3">
      <c r="A12" t="s">
        <v>66</v>
      </c>
      <c r="B12" t="s">
        <v>67</v>
      </c>
    </row>
    <row r="13" spans="1:2" x14ac:dyDescent="0.3">
      <c r="A13" t="s">
        <v>68</v>
      </c>
      <c r="B13" t="s">
        <v>69</v>
      </c>
    </row>
  </sheetData>
  <mergeCells count="1">
    <mergeCell ref="A1:B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0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5" customWidth="1"/>
    <col min="2" max="2" width="20" customWidth="1"/>
    <col min="3" max="3" width="42" customWidth="1"/>
  </cols>
  <sheetData>
    <row r="1" spans="1:3" ht="21" x14ac:dyDescent="0.4">
      <c r="A1" s="7" t="s">
        <v>70</v>
      </c>
      <c r="B1" s="8"/>
      <c r="C1" s="8"/>
    </row>
    <row r="2" spans="1:3" x14ac:dyDescent="0.3">
      <c r="A2" s="4" t="s">
        <v>71</v>
      </c>
      <c r="B2" s="4" t="s">
        <v>72</v>
      </c>
      <c r="C2" s="4" t="s">
        <v>73</v>
      </c>
    </row>
    <row r="3" spans="1:3" x14ac:dyDescent="0.3">
      <c r="A3" t="s">
        <v>74</v>
      </c>
      <c r="B3" s="3">
        <f>SUM(SalesData[Net_Sales])</f>
        <v>26075</v>
      </c>
      <c r="C3" t="s">
        <v>75</v>
      </c>
    </row>
    <row r="4" spans="1:3" x14ac:dyDescent="0.3">
      <c r="A4" t="s">
        <v>76</v>
      </c>
      <c r="B4" s="3">
        <f>SUM(SalesData[Profit])</f>
        <v>10205</v>
      </c>
      <c r="C4" t="s">
        <v>77</v>
      </c>
    </row>
    <row r="5" spans="1:3" x14ac:dyDescent="0.3">
      <c r="A5" t="s">
        <v>78</v>
      </c>
      <c r="B5">
        <f>COUNTA(SalesData[Order_ID])</f>
        <v>20</v>
      </c>
      <c r="C5" t="s">
        <v>79</v>
      </c>
    </row>
    <row r="6" spans="1:3" x14ac:dyDescent="0.3">
      <c r="A6" t="s">
        <v>80</v>
      </c>
      <c r="B6">
        <f>SUM(SalesData[Quantity])</f>
        <v>42</v>
      </c>
      <c r="C6" t="s">
        <v>81</v>
      </c>
    </row>
    <row r="7" spans="1:3" x14ac:dyDescent="0.3">
      <c r="A7" t="s">
        <v>82</v>
      </c>
      <c r="B7" s="3">
        <f>B3/B5</f>
        <v>1303.75</v>
      </c>
      <c r="C7" t="s">
        <v>83</v>
      </c>
    </row>
    <row r="8" spans="1:3" x14ac:dyDescent="0.3">
      <c r="A8" t="s">
        <v>84</v>
      </c>
      <c r="B8" s="5">
        <f>B4/B3</f>
        <v>0.39137104506232023</v>
      </c>
      <c r="C8" t="s">
        <v>85</v>
      </c>
    </row>
    <row r="10" spans="1:3" x14ac:dyDescent="0.3">
      <c r="A10" t="s">
        <v>86</v>
      </c>
      <c r="B10" s="8" t="s">
        <v>87</v>
      </c>
      <c r="C10" s="8"/>
    </row>
  </sheetData>
  <mergeCells count="2">
    <mergeCell ref="A1:C1"/>
    <mergeCell ref="B10:C10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"/>
  <sheetViews>
    <sheetView showGridLines="0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24" customWidth="1"/>
    <col min="2" max="2" width="14" customWidth="1"/>
    <col min="3" max="5" width="18" customWidth="1"/>
  </cols>
  <sheetData>
    <row r="1" spans="1:5" ht="19.8" x14ac:dyDescent="0.4">
      <c r="A1" s="9" t="s">
        <v>88</v>
      </c>
      <c r="B1" s="8"/>
      <c r="C1" s="8"/>
      <c r="D1" s="8"/>
      <c r="E1" s="8"/>
    </row>
    <row r="2" spans="1:5" x14ac:dyDescent="0.3">
      <c r="A2" s="4" t="s">
        <v>5</v>
      </c>
      <c r="B2" s="4" t="s">
        <v>89</v>
      </c>
      <c r="C2" s="4" t="s">
        <v>90</v>
      </c>
      <c r="D2" s="4" t="s">
        <v>9</v>
      </c>
      <c r="E2" s="4" t="s">
        <v>84</v>
      </c>
    </row>
    <row r="3" spans="1:5" x14ac:dyDescent="0.3">
      <c r="A3" t="s">
        <v>14</v>
      </c>
      <c r="B3">
        <f>COUNTIF(SalesData[Category],A3)</f>
        <v>6</v>
      </c>
      <c r="C3" s="3">
        <f>SUMIF(SalesData[Category],A3,SalesData[Net_Sales])</f>
        <v>10100</v>
      </c>
      <c r="D3" s="3">
        <f>SUMIF(SalesData[Category],A3,SalesData[Profit])</f>
        <v>4100</v>
      </c>
      <c r="E3" s="5">
        <f>IFERROR(D3/C3,0)</f>
        <v>0.40594059405940597</v>
      </c>
    </row>
    <row r="4" spans="1:5" x14ac:dyDescent="0.3">
      <c r="A4" t="s">
        <v>18</v>
      </c>
      <c r="B4">
        <f>COUNTIF(SalesData[Category],A4)</f>
        <v>5</v>
      </c>
      <c r="C4" s="3">
        <f>SUMIF(SalesData[Category],A4,SalesData[Net_Sales])</f>
        <v>6025</v>
      </c>
      <c r="D4" s="3">
        <f>SUMIF(SalesData[Category],A4,SalesData[Profit])</f>
        <v>2305</v>
      </c>
      <c r="E4" s="5">
        <f>IFERROR(D4/C4,0)</f>
        <v>0.38257261410788379</v>
      </c>
    </row>
    <row r="5" spans="1:5" x14ac:dyDescent="0.3">
      <c r="A5" t="s">
        <v>22</v>
      </c>
      <c r="B5">
        <f>COUNTIF(SalesData[Category],A5)</f>
        <v>5</v>
      </c>
      <c r="C5" s="3">
        <f>SUMIF(SalesData[Category],A5,SalesData[Net_Sales])</f>
        <v>6850</v>
      </c>
      <c r="D5" s="3">
        <f>SUMIF(SalesData[Category],A5,SalesData[Profit])</f>
        <v>2710</v>
      </c>
      <c r="E5" s="5">
        <f>IFERROR(D5/C5,0)</f>
        <v>0.39562043795620438</v>
      </c>
    </row>
    <row r="6" spans="1:5" x14ac:dyDescent="0.3">
      <c r="A6" t="s">
        <v>25</v>
      </c>
      <c r="B6">
        <f>COUNTIF(SalesData[Category],A6)</f>
        <v>4</v>
      </c>
      <c r="C6" s="3">
        <f>SUMIF(SalesData[Category],A6,SalesData[Net_Sales])</f>
        <v>3100</v>
      </c>
      <c r="D6" s="3">
        <f>SUMIF(SalesData[Category],A6,SalesData[Profit])</f>
        <v>1090</v>
      </c>
      <c r="E6" s="5">
        <f>IFERROR(D6/C6,0)</f>
        <v>0.35161290322580646</v>
      </c>
    </row>
  </sheetData>
  <mergeCells count="1">
    <mergeCell ref="A1:E1"/>
  </mergeCells>
  <pageMargins left="0.75" right="0.75" top="1" bottom="1" header="0.5" footer="0.5"/>
  <pageSetup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4"/>
  <sheetViews>
    <sheetView showGridLines="0" workbookViewId="0">
      <pane ySplit="1" topLeftCell="A2" activePane="bottomLeft" state="frozen"/>
      <selection pane="bottomLeft" activeCell="C2" activeCellId="1" sqref="A2:A4 C2:C4"/>
    </sheetView>
  </sheetViews>
  <sheetFormatPr defaultRowHeight="14.4" x14ac:dyDescent="0.3"/>
  <cols>
    <col min="1" max="1" width="24" customWidth="1"/>
    <col min="2" max="2" width="14" customWidth="1"/>
    <col min="3" max="5" width="18" customWidth="1"/>
  </cols>
  <sheetData>
    <row r="1" spans="1:5" ht="19.8" x14ac:dyDescent="0.4">
      <c r="A1" s="9" t="s">
        <v>91</v>
      </c>
      <c r="B1" s="8"/>
      <c r="C1" s="8"/>
      <c r="D1" s="8"/>
      <c r="E1" s="8"/>
    </row>
    <row r="2" spans="1:5" x14ac:dyDescent="0.3">
      <c r="A2" s="4" t="s">
        <v>2</v>
      </c>
      <c r="B2" s="4" t="s">
        <v>89</v>
      </c>
      <c r="C2" s="4" t="s">
        <v>90</v>
      </c>
      <c r="D2" s="4" t="s">
        <v>9</v>
      </c>
      <c r="E2" s="4" t="s">
        <v>84</v>
      </c>
    </row>
    <row r="3" spans="1:5" x14ac:dyDescent="0.3">
      <c r="A3" t="s">
        <v>11</v>
      </c>
      <c r="B3">
        <f>COUNTIF(SalesData[Region],A3)</f>
        <v>11</v>
      </c>
      <c r="C3" s="3">
        <f>SUMIF(SalesData[Region],A3,SalesData[Net_Sales])</f>
        <v>17175</v>
      </c>
      <c r="D3" s="3">
        <f>SUMIF(SalesData[Region],A3,SalesData[Profit])</f>
        <v>6875</v>
      </c>
      <c r="E3" s="5">
        <f>IFERROR(D3/C3,0)</f>
        <v>0.40029112081513829</v>
      </c>
    </row>
    <row r="4" spans="1:5" x14ac:dyDescent="0.3">
      <c r="A4" t="s">
        <v>16</v>
      </c>
      <c r="B4">
        <f>COUNTIF(SalesData[Region],A4)</f>
        <v>9</v>
      </c>
      <c r="C4" s="3">
        <f>SUMIF(SalesData[Region],A4,SalesData[Net_Sales])</f>
        <v>8900</v>
      </c>
      <c r="D4" s="3">
        <f>SUMIF(SalesData[Region],A4,SalesData[Profit])</f>
        <v>3330</v>
      </c>
      <c r="E4" s="5">
        <f>IFERROR(D4/C4,0)</f>
        <v>0.37415730337078651</v>
      </c>
    </row>
  </sheetData>
  <mergeCells count="1">
    <mergeCell ref="A1:E1"/>
  </mergeCells>
  <pageMargins left="0.75" right="0.75" top="1" bottom="1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4"/>
  <sheetViews>
    <sheetView showGridLines="0" tabSelected="1" workbookViewId="0">
      <pane ySplit="1" topLeftCell="A2" activePane="bottomLeft" state="frozen"/>
      <selection pane="bottomLeft" activeCell="K17" sqref="K17"/>
    </sheetView>
  </sheetViews>
  <sheetFormatPr defaultRowHeight="14.4" x14ac:dyDescent="0.3"/>
  <cols>
    <col min="1" max="1" width="24" customWidth="1"/>
    <col min="2" max="2" width="14" customWidth="1"/>
    <col min="3" max="5" width="18" customWidth="1"/>
  </cols>
  <sheetData>
    <row r="1" spans="1:5" ht="19.8" x14ac:dyDescent="0.4">
      <c r="A1" s="9" t="s">
        <v>92</v>
      </c>
      <c r="B1" s="8"/>
      <c r="C1" s="8"/>
      <c r="D1" s="8"/>
      <c r="E1" s="8"/>
    </row>
    <row r="2" spans="1:5" x14ac:dyDescent="0.3">
      <c r="A2" s="4" t="s">
        <v>3</v>
      </c>
      <c r="B2" s="4" t="s">
        <v>89</v>
      </c>
      <c r="C2" s="4" t="s">
        <v>90</v>
      </c>
      <c r="D2" s="4" t="s">
        <v>9</v>
      </c>
      <c r="E2" s="4" t="s">
        <v>84</v>
      </c>
    </row>
    <row r="3" spans="1:5" x14ac:dyDescent="0.3">
      <c r="A3" t="s">
        <v>12</v>
      </c>
      <c r="B3">
        <f>COUNTIF(SalesData[Customer_Segment],A3)</f>
        <v>12</v>
      </c>
      <c r="C3" s="3">
        <f>SUMIF(SalesData[Customer_Segment],A3,SalesData[Net_Sales])</f>
        <v>14275</v>
      </c>
      <c r="D3" s="3">
        <f>SUMIF(SalesData[Customer_Segment],A3,SalesData[Profit])</f>
        <v>5575</v>
      </c>
      <c r="E3" s="5">
        <f>IFERROR(D3/C3,0)</f>
        <v>0.39054290718038531</v>
      </c>
    </row>
    <row r="4" spans="1:5" x14ac:dyDescent="0.3">
      <c r="A4" t="s">
        <v>20</v>
      </c>
      <c r="B4">
        <f>COUNTIF(SalesData[Customer_Segment],A4)</f>
        <v>8</v>
      </c>
      <c r="C4" s="3">
        <f>SUMIF(SalesData[Customer_Segment],A4,SalesData[Net_Sales])</f>
        <v>11800</v>
      </c>
      <c r="D4" s="3">
        <f>SUMIF(SalesData[Customer_Segment],A4,SalesData[Profit])</f>
        <v>4630</v>
      </c>
      <c r="E4" s="5">
        <f>IFERROR(D4/C4,0)</f>
        <v>0.39237288135593218</v>
      </c>
    </row>
  </sheetData>
  <mergeCells count="1">
    <mergeCell ref="A1:E1"/>
  </mergeCells>
  <pageMargins left="0.75" right="0.75" top="1" bottom="1" header="0.5" footer="0.5"/>
  <pageSetup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4"/>
  <sheetViews>
    <sheetView showGridLines="0" workbookViewId="0">
      <pane ySplit="1" topLeftCell="A2" activePane="bottomLeft" state="frozen"/>
      <selection pane="bottomLeft" activeCell="M7" sqref="M7"/>
    </sheetView>
  </sheetViews>
  <sheetFormatPr defaultRowHeight="14.4" x14ac:dyDescent="0.3"/>
  <cols>
    <col min="1" max="1" width="24" customWidth="1"/>
    <col min="2" max="2" width="14" customWidth="1"/>
    <col min="3" max="4" width="18" customWidth="1"/>
  </cols>
  <sheetData>
    <row r="1" spans="1:4" ht="19.8" x14ac:dyDescent="0.4">
      <c r="A1" s="9" t="s">
        <v>93</v>
      </c>
      <c r="B1" s="8"/>
      <c r="C1" s="8"/>
      <c r="D1" s="8"/>
    </row>
    <row r="2" spans="1:4" x14ac:dyDescent="0.3">
      <c r="A2" s="4" t="s">
        <v>4</v>
      </c>
      <c r="B2" s="4" t="s">
        <v>6</v>
      </c>
      <c r="C2" s="4" t="s">
        <v>90</v>
      </c>
      <c r="D2" s="4" t="s">
        <v>9</v>
      </c>
    </row>
    <row r="3" spans="1:4" x14ac:dyDescent="0.3">
      <c r="A3" t="s">
        <v>36</v>
      </c>
      <c r="B3">
        <f>SUMIF(SalesData[Product],A3,SalesData[Quantity])</f>
        <v>2</v>
      </c>
      <c r="C3" s="3">
        <f>SUMIF(SalesData[Product],A3,SalesData[Net_Sales])</f>
        <v>5000</v>
      </c>
      <c r="D3" s="3">
        <f>SUMIF(SalesData[Product],A3,SalesData[Profit])</f>
        <v>2000</v>
      </c>
    </row>
    <row r="4" spans="1:4" x14ac:dyDescent="0.3">
      <c r="A4" t="s">
        <v>27</v>
      </c>
      <c r="B4">
        <f>SUMIF(SalesData[Product],A4,SalesData[Quantity])</f>
        <v>3</v>
      </c>
      <c r="C4" s="3">
        <f>SUMIF(SalesData[Product],A4,SalesData[Net_Sales])</f>
        <v>3300</v>
      </c>
      <c r="D4" s="3">
        <f>SUMIF(SalesData[Product],A4,SalesData[Profit])</f>
        <v>1350</v>
      </c>
    </row>
    <row r="5" spans="1:4" x14ac:dyDescent="0.3">
      <c r="A5" t="s">
        <v>32</v>
      </c>
      <c r="B5">
        <f>SUMIF(SalesData[Product],A5,SalesData[Quantity])</f>
        <v>5</v>
      </c>
      <c r="C5" s="3">
        <f>SUMIF(SalesData[Product],A5,SalesData[Net_Sales])</f>
        <v>3000</v>
      </c>
      <c r="D5" s="3">
        <f>SUMIF(SalesData[Product],A5,SalesData[Profit])</f>
        <v>1160</v>
      </c>
    </row>
    <row r="6" spans="1:4" x14ac:dyDescent="0.3">
      <c r="A6" t="s">
        <v>17</v>
      </c>
      <c r="B6">
        <f>SUMIF(SalesData[Product],A6,SalesData[Quantity])</f>
        <v>3</v>
      </c>
      <c r="C6" s="3">
        <f>SUMIF(SalesData[Product],A6,SalesData[Net_Sales])</f>
        <v>2550</v>
      </c>
      <c r="D6" s="3">
        <f>SUMIF(SalesData[Product],A6,SalesData[Profit])</f>
        <v>1050</v>
      </c>
    </row>
    <row r="7" spans="1:4" x14ac:dyDescent="0.3">
      <c r="A7" t="s">
        <v>30</v>
      </c>
      <c r="B7">
        <f>SUMIF(SalesData[Product],A7,SalesData[Quantity])</f>
        <v>5</v>
      </c>
      <c r="C7" s="3">
        <f>SUMIF(SalesData[Product],A7,SalesData[Net_Sales])</f>
        <v>2375</v>
      </c>
      <c r="D7" s="3">
        <f>SUMIF(SalesData[Product],A7,SalesData[Profit])</f>
        <v>875</v>
      </c>
    </row>
    <row r="8" spans="1:4" x14ac:dyDescent="0.3">
      <c r="A8" t="s">
        <v>21</v>
      </c>
      <c r="B8">
        <f>SUMIF(SalesData[Product],A8,SalesData[Quantity])</f>
        <v>3</v>
      </c>
      <c r="C8" s="3">
        <f>SUMIF(SalesData[Product],A8,SalesData[Net_Sales])</f>
        <v>2250</v>
      </c>
      <c r="D8" s="3">
        <f>SUMIF(SalesData[Product],A8,SalesData[Profit])</f>
        <v>900</v>
      </c>
    </row>
    <row r="9" spans="1:4" x14ac:dyDescent="0.3">
      <c r="A9" t="s">
        <v>13</v>
      </c>
      <c r="B9">
        <f>SUMIF(SalesData[Product],A9,SalesData[Quantity])</f>
        <v>3</v>
      </c>
      <c r="C9" s="3">
        <f>SUMIF(SalesData[Product],A9,SalesData[Net_Sales])</f>
        <v>1800</v>
      </c>
      <c r="D9" s="3">
        <f>SUMIF(SalesData[Product],A9,SalesData[Profit])</f>
        <v>750</v>
      </c>
    </row>
    <row r="10" spans="1:4" x14ac:dyDescent="0.3">
      <c r="A10" t="s">
        <v>24</v>
      </c>
      <c r="B10">
        <f>SUMIF(SalesData[Product],A10,SalesData[Quantity])</f>
        <v>8</v>
      </c>
      <c r="C10" s="3">
        <f>SUMIF(SalesData[Product],A10,SalesData[Net_Sales])</f>
        <v>1600</v>
      </c>
      <c r="D10" s="3">
        <f>SUMIF(SalesData[Product],A10,SalesData[Profit])</f>
        <v>560</v>
      </c>
    </row>
    <row r="11" spans="1:4" x14ac:dyDescent="0.3">
      <c r="A11" t="s">
        <v>38</v>
      </c>
      <c r="B11">
        <f>SUMIF(SalesData[Product],A11,SalesData[Quantity])</f>
        <v>2</v>
      </c>
      <c r="C11" s="3">
        <f>SUMIF(SalesData[Product],A11,SalesData[Net_Sales])</f>
        <v>1600</v>
      </c>
      <c r="D11" s="3">
        <f>SUMIF(SalesData[Product],A11,SalesData[Profit])</f>
        <v>650</v>
      </c>
    </row>
    <row r="12" spans="1:4" x14ac:dyDescent="0.3">
      <c r="A12" t="s">
        <v>40</v>
      </c>
      <c r="B12">
        <f>SUMIF(SalesData[Product],A12,SalesData[Quantity])</f>
        <v>2</v>
      </c>
      <c r="C12" s="3">
        <f>SUMIF(SalesData[Product],A12,SalesData[Net_Sales])</f>
        <v>1100</v>
      </c>
      <c r="D12" s="3">
        <f>SUMIF(SalesData[Product],A12,SalesData[Profit])</f>
        <v>380</v>
      </c>
    </row>
    <row r="13" spans="1:4" x14ac:dyDescent="0.3">
      <c r="A13" t="s">
        <v>42</v>
      </c>
      <c r="B13">
        <f>SUMIF(SalesData[Product],A13,SalesData[Quantity])</f>
        <v>4</v>
      </c>
      <c r="C13" s="3">
        <f>SUMIF(SalesData[Product],A13,SalesData[Net_Sales])</f>
        <v>800</v>
      </c>
      <c r="D13" s="3">
        <f>SUMIF(SalesData[Product],A13,SalesData[Profit])</f>
        <v>280</v>
      </c>
    </row>
    <row r="14" spans="1:4" x14ac:dyDescent="0.3">
      <c r="A14" t="s">
        <v>34</v>
      </c>
      <c r="B14">
        <f>SUMIF(SalesData[Product],A14,SalesData[Quantity])</f>
        <v>2</v>
      </c>
      <c r="C14" s="3">
        <f>SUMIF(SalesData[Product],A14,SalesData[Net_Sales])</f>
        <v>700</v>
      </c>
      <c r="D14" s="3">
        <f>SUMIF(SalesData[Product],A14,SalesData[Profit])</f>
        <v>250</v>
      </c>
    </row>
  </sheetData>
  <sortState xmlns:xlrd2="http://schemas.microsoft.com/office/spreadsheetml/2017/richdata2" ref="A3:D14">
    <sortCondition descending="1" ref="C3:C14"/>
  </sortState>
  <mergeCells count="1">
    <mergeCell ref="A1:D1"/>
  </mergeCells>
  <pageMargins left="0.75" right="0.75" top="1" bottom="1" header="0.5" footer="0.5"/>
  <pageSetup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showGridLines="0" workbookViewId="0">
      <pane ySplit="1" topLeftCell="A2" activePane="bottomLeft" state="frozen"/>
      <selection pane="bottomLeft" activeCell="O11" sqref="O11"/>
    </sheetView>
  </sheetViews>
  <sheetFormatPr defaultRowHeight="14.4" x14ac:dyDescent="0.3"/>
  <cols>
    <col min="1" max="1" width="18" customWidth="1"/>
    <col min="2" max="3" width="20" customWidth="1"/>
  </cols>
  <sheetData>
    <row r="1" spans="1:3" ht="19.8" x14ac:dyDescent="0.4">
      <c r="A1" s="9" t="s">
        <v>94</v>
      </c>
      <c r="B1" s="8"/>
      <c r="C1" s="8"/>
    </row>
    <row r="2" spans="1:3" x14ac:dyDescent="0.3">
      <c r="A2" s="4" t="s">
        <v>95</v>
      </c>
      <c r="B2" s="4" t="s">
        <v>90</v>
      </c>
      <c r="C2" s="4" t="s">
        <v>9</v>
      </c>
    </row>
    <row r="3" spans="1:3" x14ac:dyDescent="0.3">
      <c r="A3" t="s">
        <v>96</v>
      </c>
      <c r="B3" s="3">
        <f>SUMIFS(SalesData[Net_Sales],SalesData[Order_Date],"&gt;="&amp;DATEVALUE(A3&amp;"-01"),SalesData[Order_Date],"&lt;"&amp;EDATE(DATEVALUE(A3&amp;"-01"),1))</f>
        <v>5250</v>
      </c>
      <c r="C3" s="3">
        <f>SUMIFS(SalesData[Profit],SalesData[Order_Date],"&gt;="&amp;DATEVALUE(A3&amp;"-01"),SalesData[Order_Date],"&lt;"&amp;EDATE(DATEVALUE(A3&amp;"-01"),1))</f>
        <v>2110</v>
      </c>
    </row>
    <row r="4" spans="1:3" x14ac:dyDescent="0.3">
      <c r="A4" t="s">
        <v>97</v>
      </c>
      <c r="B4" s="3">
        <f>SUMIFS(SalesData[Net_Sales],SalesData[Order_Date],"&gt;="&amp;DATEVALUE(A4&amp;"-01"),SalesData[Order_Date],"&lt;"&amp;EDATE(DATEVALUE(A4&amp;"-01"),1))</f>
        <v>8150</v>
      </c>
      <c r="C4" s="3">
        <f>SUMIFS(SalesData[Profit],SalesData[Order_Date],"&gt;="&amp;DATEVALUE(A4&amp;"-01"),SalesData[Order_Date],"&lt;"&amp;EDATE(DATEVALUE(A4&amp;"-01"),1))</f>
        <v>3200</v>
      </c>
    </row>
    <row r="5" spans="1:3" x14ac:dyDescent="0.3">
      <c r="A5" t="s">
        <v>98</v>
      </c>
      <c r="B5" s="3">
        <f>SUMIFS(SalesData[Net_Sales],SalesData[Order_Date],"&gt;="&amp;DATEVALUE(A5&amp;"-01"),SalesData[Order_Date],"&lt;"&amp;EDATE(DATEVALUE(A5&amp;"-01"),1))</f>
        <v>12675</v>
      </c>
      <c r="C5" s="3">
        <f>SUMIFS(SalesData[Profit],SalesData[Order_Date],"&gt;="&amp;DATEVALUE(A5&amp;"-01"),SalesData[Order_Date],"&lt;"&amp;EDATE(DATEVALUE(A5&amp;"-01"),1))</f>
        <v>4895</v>
      </c>
    </row>
  </sheetData>
  <mergeCells count="1">
    <mergeCell ref="A1:C1"/>
  </mergeCells>
  <pageMargins left="0.75" right="0.75" top="1" bottom="1" header="0.5" footer="0.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Sales Data</vt:lpstr>
      <vt:lpstr>Dataset Overview</vt:lpstr>
      <vt:lpstr>Business KPIs</vt:lpstr>
      <vt:lpstr>Category Analysis</vt:lpstr>
      <vt:lpstr>Region Analysis</vt:lpstr>
      <vt:lpstr>Customer Analysis</vt:lpstr>
      <vt:lpstr>Product Analysis</vt:lpstr>
      <vt:lpstr>Monthly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fernandesbenecia29@gmail.com</cp:lastModifiedBy>
  <dcterms:created xsi:type="dcterms:W3CDTF">2026-10-02T10:43:16Z</dcterms:created>
  <dcterms:modified xsi:type="dcterms:W3CDTF">2026-10-02T12:23:02Z</dcterms:modified>
</cp:coreProperties>
</file>